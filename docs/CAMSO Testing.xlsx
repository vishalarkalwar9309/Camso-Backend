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<sst xmlns="http://schemas.openxmlformats.org/spreadsheetml/2006/main" count="263" uniqueCount="118">
  <si>
    <t>issue id 1-21 is for without login</t>
  </si>
  <si>
    <t>22-30 is for logged in as dealer</t>
  </si>
  <si>
    <t>31- is for logged in as distributor(27,28,29 is also for distributor)</t>
  </si>
  <si>
    <t>add more data for users, products, testimonials etc..</t>
  </si>
  <si>
    <t>QA Defect &amp; Issue Tracker</t>
  </si>
  <si>
    <t>End-to-end defect tracking, triage, and resolution monitoring</t>
  </si>
  <si>
    <t>TOTAL ISSUES</t>
  </si>
  <si>
    <t>OPEN ISSUES</t>
  </si>
  <si>
    <t>CRITICAL / BLOCKERS</t>
  </si>
  <si>
    <t>RESOLUTION RATE</t>
  </si>
  <si>
    <t>Issue ID</t>
  </si>
  <si>
    <t>Summary</t>
  </si>
  <si>
    <t>Placement / Module</t>
  </si>
  <si>
    <t>Issue Type</t>
  </si>
  <si>
    <t>Severity</t>
  </si>
  <si>
    <t>Priority</t>
  </si>
  <si>
    <t>Status</t>
  </si>
  <si>
    <t>Assigned To</t>
  </si>
  <si>
    <t>Expected</t>
  </si>
  <si>
    <t>Evidence / Link</t>
  </si>
  <si>
    <t xml:space="preserve">Swip to next  </t>
  </si>
  <si>
    <t>First page when we open the app</t>
  </si>
  <si>
    <t>UI/Display</t>
  </si>
  <si>
    <t>Minor</t>
  </si>
  <si>
    <t>P3 - Low</t>
  </si>
  <si>
    <t>Open</t>
  </si>
  <si>
    <t xml:space="preserve">Vira </t>
  </si>
  <si>
    <t>user should be able to slide left right on touch</t>
  </si>
  <si>
    <t xml:space="preserve">change images </t>
  </si>
  <si>
    <t>home section</t>
  </si>
  <si>
    <t>relevant images</t>
  </si>
  <si>
    <t>remove CEAT in orange</t>
  </si>
  <si>
    <t>Moderate</t>
  </si>
  <si>
    <t>P2 - Medium</t>
  </si>
  <si>
    <t>no CEAT mention anywhere in the app</t>
  </si>
  <si>
    <t xml:space="preserve">remove "new" in orange after 7 days of the product launch </t>
  </si>
  <si>
    <t>product section</t>
  </si>
  <si>
    <t>Functional</t>
  </si>
  <si>
    <t>vira</t>
  </si>
  <si>
    <t>remove tires and tracks</t>
  </si>
  <si>
    <t>products-&gt;skid steer tires</t>
  </si>
  <si>
    <t>Major</t>
  </si>
  <si>
    <t>P1 - High</t>
  </si>
  <si>
    <t>we are already in product section of skid and steer tires then why again tires and tracks section on top</t>
  </si>
  <si>
    <t>reset filters</t>
  </si>
  <si>
    <t>products-&gt;skid steer tires-&gt;new</t>
  </si>
  <si>
    <t>UI/Display, Backend</t>
  </si>
  <si>
    <t>vira,aary</t>
  </si>
  <si>
    <t>reset filter should be there in sort for all, new, featured</t>
  </si>
  <si>
    <t>sign in pop up</t>
  </si>
  <si>
    <t>sign in pop up should dissapear by sliding to right, not down</t>
  </si>
  <si>
    <t>no data in key features,applications,compatible equipment</t>
  </si>
  <si>
    <t>products-&gt;skid steer tires-&gt;xtr 770</t>
  </si>
  <si>
    <t>Backend</t>
  </si>
  <si>
    <t>aary</t>
  </si>
  <si>
    <t xml:space="preserve">filled correct data </t>
  </si>
  <si>
    <t>same info 3 times(header, specs, dimensions) on same page</t>
  </si>
  <si>
    <t>same info like max load, max speed should not be shown 3 times</t>
  </si>
  <si>
    <t>share feature not working</t>
  </si>
  <si>
    <t>Functional, Backend</t>
  </si>
  <si>
    <t>on clicking on share button it should ask to share using whatsapp etc options. and then redirect to whatsapp(or other app which we user has selected)</t>
  </si>
  <si>
    <t>rating stars not matching the rating</t>
  </si>
  <si>
    <t>the star rating should match the actual rating like for 4.5 only 4 and half stars should be filled</t>
  </si>
  <si>
    <t>gramatical mistake</t>
  </si>
  <si>
    <t>products-&gt;telehandler tires</t>
  </si>
  <si>
    <t>if there is only one product then it should show "1 product" and not "1 products". sme for results</t>
  </si>
  <si>
    <t>we have zoom out always when we click on any of the dealer block</t>
  </si>
  <si>
    <t>find a dealer</t>
  </si>
  <si>
    <t>whenever we click on any dealer block then it should show on maps in proper view.</t>
  </si>
  <si>
    <t>showing error</t>
  </si>
  <si>
    <t>bookmarks</t>
  </si>
  <si>
    <t>to bookmark anything, login is required. so the page should ask to login first. dont show the error</t>
  </si>
  <si>
    <t>call and email not working</t>
  </si>
  <si>
    <t>contact support</t>
  </si>
  <si>
    <t>when clicled on call or email it should open the phone and gmail</t>
  </si>
  <si>
    <t>add option to copy phone no. and email</t>
  </si>
  <si>
    <t>vira, aary</t>
  </si>
  <si>
    <t>the user should be able to copy the phone number and the email given above.</t>
  </si>
  <si>
    <t>remove constomer story, NA and verified</t>
  </si>
  <si>
    <t>testimonials-&gt;customer stories</t>
  </si>
  <si>
    <t>when we are already inside the customer story section then it should not show customer story again and again</t>
  </si>
  <si>
    <t>call and email not working + copy ph no. and email</t>
  </si>
  <si>
    <t>support-&gt;distributor</t>
  </si>
  <si>
    <t>UI/Display, Backend, Functional</t>
  </si>
  <si>
    <t>when clicled on call or email it should open the phone and gmail and the user should be able to copy the ph no. and the email</t>
  </si>
  <si>
    <t>dealers anddistributor specific resources is not showing relevant things</t>
  </si>
  <si>
    <t>support-&gt;role specific resources</t>
  </si>
  <si>
    <t>it sould show dealer specific resources like documents for only dealers in this. when clicked in that "dealer portal and locator"(rename this to "dealer resources") first it should ask for sign in just like it asks for employee and oem partner. same for distriibutor</t>
  </si>
  <si>
    <t>we are able to download documents from document library</t>
  </si>
  <si>
    <t>support-&gt;document library</t>
  </si>
  <si>
    <t>Backend, UI/Display</t>
  </si>
  <si>
    <t>aary and vira</t>
  </si>
  <si>
    <t xml:space="preserve">when clicked on that document we should be able to read the document but to download it should ask for sign in </t>
  </si>
  <si>
    <t>remove oem partner and employee portal</t>
  </si>
  <si>
    <t>support</t>
  </si>
  <si>
    <t>oem partner and distributor should not be shown to the dealer</t>
  </si>
  <si>
    <t>directing to wrong page when clicked on dealer portal and locator</t>
  </si>
  <si>
    <t>vira , aary</t>
  </si>
  <si>
    <t>the dealer specific resources shold not redirect to the dealer locator page</t>
  </si>
  <si>
    <t>remove admin only document</t>
  </si>
  <si>
    <t>the admin specific things should be shown only to admin</t>
  </si>
  <si>
    <t>added bookmarks of products, documents and stories are not visible in bookmarks section</t>
  </si>
  <si>
    <t>the dealer can see his bookmarked things</t>
  </si>
  <si>
    <t>access token expired error after sometime</t>
  </si>
  <si>
    <t>cannot see the given feedback, viewd products, downloaded documents etc..(bookmark, searched). same for distributor(signed in as distributor).</t>
  </si>
  <si>
    <t>profile-&gt;account activity &amp; saved calculations</t>
  </si>
  <si>
    <t>aary, vira</t>
  </si>
  <si>
    <t>the dealer should be able to see his activity</t>
  </si>
  <si>
    <t>cannot see the calculations done by the dealer. same for distributor.</t>
  </si>
  <si>
    <t>blank screen. same for distributor</t>
  </si>
  <si>
    <t>profile-&gt;language</t>
  </si>
  <si>
    <t>direct to the language page and show the languages options</t>
  </si>
  <si>
    <t>spacing between bookmarks/unread alerts and authorized dealer portal</t>
  </si>
  <si>
    <t>profile</t>
  </si>
  <si>
    <t>the spacing sould be proper</t>
  </si>
  <si>
    <t>invalid business access token error</t>
  </si>
  <si>
    <t>profile-&gt;reginal distributor portal</t>
  </si>
  <si>
    <t>it should show the distributor distrubutor portal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</si>
</sst>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9">
    <font>
      <sz val="10.0"/>
      <color rgb="FF000000"/>
      <name val="Arial"/>
      <scheme val="minor"/>
    </font>
    <font>
      <color theme="1"/>
      <name val="Arial"/>
      <scheme val="minor"/>
    </font>
    <font>
      <b/>
      <sz val="16.0"/>
      <color rgb="FF1D3989"/>
      <name val="Google Sans"/>
    </font>
    <font>
      <i/>
      <sz val="10.0"/>
      <color rgb="FF696E79"/>
      <name val="Google Sans"/>
    </font>
    <font>
      <b/>
      <sz val="9.0"/>
      <color rgb="FF465469"/>
      <name val="Google Sans"/>
    </font>
    <font/>
    <font>
      <b/>
      <sz val="9.0"/>
      <color rgb="FFC2410B"/>
      <name val="Google Sans"/>
    </font>
    <font>
      <b/>
      <sz val="9.0"/>
      <color rgb="FFB81C1C"/>
      <name val="Google Sans"/>
    </font>
    <font>
      <b/>
      <sz val="9.0"/>
      <color rgb="FF047856"/>
      <name val="Google Sans"/>
    </font>
    <font>
      <b/>
      <sz val="18.0"/>
      <color rgb="FF1E293A"/>
      <name val="Google Sans"/>
    </font>
    <font>
      <b/>
      <sz val="18.0"/>
      <color rgb="FFC2410B"/>
      <name val="Google Sans"/>
    </font>
    <font>
      <b/>
      <sz val="18.0"/>
      <color rgb="FFB81C1C"/>
      <name val="Google Sans"/>
    </font>
    <font>
      <b/>
      <sz val="18.0"/>
      <color rgb="FF047856"/>
      <name val="Google Sans"/>
    </font>
    <font>
      <b/>
      <sz val="10.0"/>
      <color rgb="FFFFFFFF"/>
      <name val="Google Sans"/>
    </font>
    <font>
      <b/>
      <sz val="9.0"/>
      <color rgb="FF1D4ED7"/>
      <name val="Google Sans"/>
    </font>
    <font>
      <sz val="9.0"/>
      <color theme="1"/>
      <name val="Google Sans"/>
    </font>
    <font>
      <u/>
      <sz val="9.0"/>
      <color rgb="FF2462EB"/>
      <name val="Google Sans"/>
    </font>
    <font>
      <u/>
      <sz val="9.0"/>
      <color rgb="FF2462EB"/>
      <name val="Google Sans"/>
    </font>
    <font>
      <u/>
      <sz val="9.0"/>
      <color rgb="FF2462EB"/>
      <name val="Google Sans"/>
    </font>
  </fonts>
  <fills count="7">
    <fill>
      <patternFill patternType="none"/>
    </fill>
    <fill>
      <patternFill patternType="lightGray"/>
    </fill>
    <fill>
      <patternFill patternType="solid">
        <fgColor rgb="FFF8F9FB"/>
        <bgColor rgb="FFF8F9FB"/>
      </patternFill>
    </fill>
    <fill>
      <patternFill patternType="solid">
        <fgColor rgb="FFFFF7EC"/>
        <bgColor rgb="FFFFF7EC"/>
      </patternFill>
    </fill>
    <fill>
      <patternFill patternType="solid">
        <fgColor rgb="FFFDF1F1"/>
        <bgColor rgb="FFFDF1F1"/>
      </patternFill>
    </fill>
    <fill>
      <patternFill patternType="solid">
        <fgColor rgb="FFEFFCF4"/>
        <bgColor rgb="FFEFFCF4"/>
      </patternFill>
    </fill>
    <fill>
      <patternFill patternType="solid">
        <fgColor rgb="FF1E3989"/>
        <bgColor rgb="FF1E3989"/>
      </patternFill>
    </fill>
  </fills>
  <borders count="26">
    <border/>
    <border>
      <left style="thin">
        <color rgb="FFCAD4E0"/>
      </left>
      <top style="thin">
        <color rgb="FFCAD4E0"/>
      </top>
    </border>
    <border>
      <right style="thin">
        <color rgb="FFCAD4E0"/>
      </right>
      <top style="thin">
        <color rgb="FFCAD4E0"/>
      </top>
    </border>
    <border>
      <left style="thin">
        <color rgb="FFFDD6AA"/>
      </left>
      <top style="thin">
        <color rgb="FFFDD6AA"/>
      </top>
    </border>
    <border>
      <right style="thin">
        <color rgb="FFFDD6AA"/>
      </right>
      <top style="thin">
        <color rgb="FFFDD6AA"/>
      </top>
    </border>
    <border>
      <left style="thin">
        <color rgb="FFFDC9C9"/>
      </left>
      <top style="thin">
        <color rgb="FFFDC9C9"/>
      </top>
    </border>
    <border>
      <top style="thin">
        <color rgb="FFFDC9C9"/>
      </top>
    </border>
    <border>
      <right style="thin">
        <color rgb="FFFDC9C9"/>
      </right>
      <top style="thin">
        <color rgb="FFFDC9C9"/>
      </top>
    </border>
    <border>
      <left style="thin">
        <color rgb="FFBAF7D0"/>
      </left>
      <right style="thin">
        <color rgb="FFBAF7D0"/>
      </right>
      <top style="thin">
        <color rgb="FFBAF7D0"/>
      </top>
    </border>
    <border>
      <left style="thin">
        <color rgb="FFCAD4E0"/>
      </left>
      <bottom style="thin">
        <color rgb="FFCAD4E0"/>
      </bottom>
    </border>
    <border>
      <right style="thin">
        <color rgb="FFCAD4E0"/>
      </right>
      <bottom style="thin">
        <color rgb="FFCAD4E0"/>
      </bottom>
    </border>
    <border>
      <left style="thin">
        <color rgb="FFFDD6AA"/>
      </left>
      <bottom style="thin">
        <color rgb="FFFDD6AA"/>
      </bottom>
    </border>
    <border>
      <right style="thin">
        <color rgb="FFFDD6AA"/>
      </right>
      <bottom style="thin">
        <color rgb="FFFDD6AA"/>
      </bottom>
    </border>
    <border>
      <left style="thin">
        <color rgb="FFFDC9C9"/>
      </left>
      <bottom style="thin">
        <color rgb="FFFDC9C9"/>
      </bottom>
    </border>
    <border>
      <bottom style="thin">
        <color rgb="FFFDC9C9"/>
      </bottom>
    </border>
    <border>
      <right style="thin">
        <color rgb="FFFDC9C9"/>
      </right>
      <bottom style="thin">
        <color rgb="FFFDC9C9"/>
      </bottom>
    </border>
    <border>
      <left style="thin">
        <color rgb="FFBAF7D0"/>
      </left>
      <right style="thin">
        <color rgb="FFBAF7D0"/>
      </right>
      <bottom style="thin">
        <color rgb="FFBAF7D0"/>
      </bottom>
    </border>
    <border>
      <left style="thin">
        <color rgb="FFCAD4E0"/>
      </left>
      <right style="thin">
        <color rgb="FFEDEFF4"/>
      </right>
      <top style="thin">
        <color rgb="FF1E3989"/>
      </top>
      <bottom style="thin">
        <color rgb="FFE1E8EF"/>
      </bottom>
    </border>
    <border>
      <left style="thin">
        <color rgb="FFEDEFF4"/>
      </left>
      <right style="thin">
        <color rgb="FFEDEFF4"/>
      </right>
      <top style="thin">
        <color rgb="FF1E3989"/>
      </top>
      <bottom style="thin">
        <color rgb="FFE1E8EF"/>
      </bottom>
    </border>
    <border>
      <left style="thin">
        <color rgb="FFEDEFF4"/>
      </left>
      <right style="thin">
        <color rgb="FFCAD4E0"/>
      </right>
      <top style="thin">
        <color rgb="FF1E3989"/>
      </top>
      <bottom style="thin">
        <color rgb="FFE1E8EF"/>
      </bottom>
    </border>
    <border>
      <left style="thin">
        <color rgb="FFCAD4E0"/>
      </left>
      <right style="thin">
        <color rgb="FFEDEFF4"/>
      </right>
      <top style="thin">
        <color rgb="FFE1E8EF"/>
      </top>
      <bottom style="thin">
        <color rgb="FFE1E8EF"/>
      </bottom>
    </border>
    <border>
      <left style="thin">
        <color rgb="FFEDEFF4"/>
      </left>
      <right style="thin">
        <color rgb="FFEDEFF4"/>
      </right>
      <top style="thin">
        <color rgb="FFE1E8EF"/>
      </top>
      <bottom style="thin">
        <color rgb="FFE1E8EF"/>
      </bottom>
    </border>
    <border>
      <left style="thin">
        <color rgb="FFEDEFF4"/>
      </left>
      <right style="thin">
        <color rgb="FFCAD4E0"/>
      </right>
      <top style="thin">
        <color rgb="FFE1E8EF"/>
      </top>
      <bottom style="thin">
        <color rgb="FFE1E8EF"/>
      </bottom>
    </border>
    <border>
      <left style="thin">
        <color rgb="FFCAD4E0"/>
      </left>
      <right style="thin">
        <color rgb="FFEDEFF4"/>
      </right>
      <top style="thin">
        <color rgb="FFE1E8EF"/>
      </top>
      <bottom style="thin">
        <color rgb="FFCAD4E0"/>
      </bottom>
    </border>
    <border>
      <left style="thin">
        <color rgb="FFEDEFF4"/>
      </left>
      <right style="thin">
        <color rgb="FFEDEFF4"/>
      </right>
      <top style="thin">
        <color rgb="FFE1E8EF"/>
      </top>
      <bottom style="thin">
        <color rgb="FFCAD4E0"/>
      </bottom>
    </border>
    <border>
      <left style="thin">
        <color rgb="FFEDEFF4"/>
      </left>
      <right style="thin">
        <color rgb="FFCAD4E0"/>
      </right>
      <top style="thin">
        <color rgb="FFE1E8EF"/>
      </top>
      <bottom style="thin">
        <color rgb="FFCAD4E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1" fillId="2" fontId="4" numFmtId="0" xfId="0" applyAlignment="1" applyBorder="1" applyFill="1" applyFont="1">
      <alignment horizontal="center" readingOrder="0" vertical="center"/>
    </xf>
    <xf borderId="2" fillId="0" fontId="5" numFmtId="0" xfId="0" applyBorder="1" applyFont="1"/>
    <xf borderId="3" fillId="3" fontId="6" numFmtId="0" xfId="0" applyAlignment="1" applyBorder="1" applyFill="1" applyFont="1">
      <alignment horizontal="center" readingOrder="0" vertical="center"/>
    </xf>
    <xf borderId="4" fillId="0" fontId="5" numFmtId="0" xfId="0" applyBorder="1" applyFont="1"/>
    <xf borderId="5" fillId="4" fontId="7" numFmtId="0" xfId="0" applyAlignment="1" applyBorder="1" applyFill="1" applyFont="1">
      <alignment horizontal="center" readingOrder="0" vertical="center"/>
    </xf>
    <xf borderId="6" fillId="0" fontId="5" numFmtId="0" xfId="0" applyBorder="1" applyFont="1"/>
    <xf borderId="7" fillId="0" fontId="5" numFmtId="0" xfId="0" applyBorder="1" applyFont="1"/>
    <xf borderId="8" fillId="5" fontId="8" numFmtId="0" xfId="0" applyAlignment="1" applyBorder="1" applyFill="1" applyFont="1">
      <alignment horizontal="center" readingOrder="0" vertical="center"/>
    </xf>
    <xf borderId="9" fillId="2" fontId="9" numFmtId="0" xfId="0" applyAlignment="1" applyBorder="1" applyFill="1" applyFont="1">
      <alignment horizontal="center" vertical="center"/>
    </xf>
    <xf borderId="10" fillId="0" fontId="5" numFmtId="0" xfId="0" applyBorder="1" applyFont="1"/>
    <xf borderId="11" fillId="3" fontId="10" numFmtId="0" xfId="0" applyAlignment="1" applyBorder="1" applyFill="1" applyFont="1">
      <alignment horizontal="center" vertical="center"/>
    </xf>
    <xf borderId="12" fillId="0" fontId="5" numFmtId="0" xfId="0" applyBorder="1" applyFont="1"/>
    <xf borderId="13" fillId="4" fontId="11" numFmtId="0" xfId="0" applyAlignment="1" applyBorder="1" applyFill="1" applyFont="1">
      <alignment horizontal="center" vertical="center"/>
    </xf>
    <xf borderId="14" fillId="0" fontId="5" numFmtId="0" xfId="0" applyBorder="1" applyFont="1"/>
    <xf borderId="15" fillId="0" fontId="5" numFmtId="0" xfId="0" applyBorder="1" applyFont="1"/>
    <xf borderId="16" fillId="5" fontId="12" numFmtId="164" xfId="0" applyAlignment="1" applyBorder="1" applyFill="1" applyFont="1" applyNumberFormat="1">
      <alignment horizontal="center" vertical="center"/>
    </xf>
    <xf borderId="17" fillId="6" fontId="13" numFmtId="0" xfId="0" applyAlignment="1" applyBorder="1" applyFill="1" applyFont="1">
      <alignment horizontal="center" readingOrder="0" vertical="center"/>
    </xf>
    <xf borderId="18" fillId="6" fontId="13" numFmtId="0" xfId="0" applyAlignment="1" applyBorder="1" applyFill="1" applyFont="1">
      <alignment readingOrder="0" vertical="center"/>
    </xf>
    <xf borderId="18" fillId="6" fontId="13" numFmtId="0" xfId="0" applyAlignment="1" applyBorder="1" applyFill="1" applyFont="1">
      <alignment horizontal="center" readingOrder="0" vertical="center"/>
    </xf>
    <xf borderId="19" fillId="6" fontId="13" numFmtId="0" xfId="0" applyAlignment="1" applyBorder="1" applyFill="1" applyFont="1">
      <alignment readingOrder="0" vertical="center"/>
    </xf>
    <xf borderId="20" fillId="0" fontId="14" numFmtId="0" xfId="0" applyAlignment="1" applyBorder="1" applyFont="1">
      <alignment horizontal="center" readingOrder="0" vertical="center"/>
    </xf>
    <xf borderId="21" fillId="0" fontId="15" numFmtId="0" xfId="0" applyAlignment="1" applyBorder="1" applyFont="1">
      <alignment readingOrder="0" shrinkToFit="0" vertical="center" wrapText="1"/>
    </xf>
    <xf borderId="21" fillId="0" fontId="15" numFmtId="0" xfId="0" applyAlignment="1" applyBorder="1" applyFont="1">
      <alignment horizontal="left" readingOrder="0" vertical="center"/>
    </xf>
    <xf borderId="21" fillId="0" fontId="15" numFmtId="0" xfId="0" applyAlignment="1" applyBorder="1" applyFont="1">
      <alignment readingOrder="0" vertical="center"/>
    </xf>
    <xf borderId="21" fillId="0" fontId="15" numFmtId="0" xfId="0" applyAlignment="1" applyBorder="1" applyFont="1">
      <alignment readingOrder="0" shrinkToFit="0" vertical="top" wrapText="1"/>
    </xf>
    <xf borderId="22" fillId="0" fontId="16" numFmtId="0" xfId="0" applyAlignment="1" applyBorder="1" applyFont="1">
      <alignment readingOrder="0" vertical="center"/>
    </xf>
    <xf borderId="20" fillId="2" fontId="14" numFmtId="0" xfId="0" applyAlignment="1" applyBorder="1" applyFill="1" applyFont="1">
      <alignment horizontal="center" readingOrder="0" vertical="center"/>
    </xf>
    <xf borderId="21" fillId="2" fontId="15" numFmtId="0" xfId="0" applyAlignment="1" applyBorder="1" applyFill="1" applyFont="1">
      <alignment readingOrder="0" shrinkToFit="0" vertical="center" wrapText="1"/>
    </xf>
    <xf borderId="21" fillId="2" fontId="15" numFmtId="0" xfId="0" applyAlignment="1" applyBorder="1" applyFill="1" applyFont="1">
      <alignment horizontal="left" readingOrder="0" vertical="center"/>
    </xf>
    <xf borderId="21" fillId="2" fontId="15" numFmtId="0" xfId="0" applyAlignment="1" applyBorder="1" applyFill="1" applyFont="1">
      <alignment readingOrder="0" vertical="center"/>
    </xf>
    <xf borderId="21" fillId="2" fontId="15" numFmtId="0" xfId="0" applyAlignment="1" applyBorder="1" applyFill="1" applyFont="1">
      <alignment readingOrder="0" shrinkToFit="0" vertical="top" wrapText="1"/>
    </xf>
    <xf borderId="22" fillId="2" fontId="17" numFmtId="0" xfId="0" applyAlignment="1" applyBorder="1" applyFill="1" applyFont="1">
      <alignment readingOrder="0" vertical="center"/>
    </xf>
    <xf borderId="23" fillId="0" fontId="14" numFmtId="0" xfId="0" applyAlignment="1" applyBorder="1" applyFont="1">
      <alignment horizontal="center" readingOrder="0" vertical="center"/>
    </xf>
    <xf borderId="24" fillId="0" fontId="15" numFmtId="0" xfId="0" applyAlignment="1" applyBorder="1" applyFont="1">
      <alignment readingOrder="0" shrinkToFit="0" vertical="center" wrapText="1"/>
    </xf>
    <xf borderId="24" fillId="0" fontId="15" numFmtId="0" xfId="0" applyAlignment="1" applyBorder="1" applyFont="1">
      <alignment horizontal="left" readingOrder="0" vertical="center"/>
    </xf>
    <xf borderId="24" fillId="0" fontId="15" numFmtId="0" xfId="0" applyAlignment="1" applyBorder="1" applyFont="1">
      <alignment readingOrder="0" vertical="center"/>
    </xf>
    <xf borderId="24" fillId="0" fontId="15" numFmtId="0" xfId="0" applyAlignment="1" applyBorder="1" applyFont="1">
      <alignment readingOrder="0" shrinkToFit="0" vertical="top" wrapText="1"/>
    </xf>
    <xf borderId="25" fillId="0" fontId="18" numFmtId="0" xfId="0" applyAlignment="1" applyBorder="1" applyFont="1">
      <alignment readingOrder="0" vertical="center"/>
    </xf>
    <xf borderId="0" fillId="0" fontId="1" numFmtId="0" xfId="0" applyAlignment="1" applyFont="1">
      <alignment horizontal="left" readingOrder="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13"/>
    <col customWidth="1" min="2" max="2" width="13.25"/>
    <col customWidth="1" min="3" max="3" width="58.63"/>
    <col customWidth="1" min="4" max="4" width="27.25"/>
    <col customWidth="1" min="5" max="5" width="31.0"/>
    <col customWidth="1" min="6" max="6" width="15.13"/>
    <col customWidth="1" min="7" max="8" width="17.0"/>
    <col customWidth="1" min="9" max="9" width="16.38"/>
    <col customWidth="1" min="10" max="10" width="39.88"/>
    <col customWidth="1" min="11" max="11" width="23.88"/>
  </cols>
  <sheetData>
    <row r="1">
      <c r="C1" s="1" t="s">
        <v>0</v>
      </c>
    </row>
    <row r="2">
      <c r="C2" s="1" t="s">
        <v>1</v>
      </c>
    </row>
    <row r="3">
      <c r="C3" s="1" t="s">
        <v>2</v>
      </c>
    </row>
    <row r="5">
      <c r="C5" s="1" t="s">
        <v>3</v>
      </c>
    </row>
    <row r="7" ht="24.0" customHeight="1">
      <c r="B7" s="2" t="s">
        <v>4</v>
      </c>
    </row>
    <row r="8" ht="16.5" customHeight="1">
      <c r="B8" s="3" t="s">
        <v>5</v>
      </c>
    </row>
    <row r="10" ht="18.0" customHeight="1">
      <c r="B10" s="4" t="s">
        <v>6</v>
      </c>
      <c r="C10" s="5"/>
      <c r="D10" s="6" t="s">
        <v>7</v>
      </c>
      <c r="E10" s="7"/>
      <c r="F10" s="8" t="s">
        <v>8</v>
      </c>
      <c r="G10" s="9"/>
      <c r="H10" s="10"/>
      <c r="I10" s="11" t="s">
        <v>9</v>
      </c>
    </row>
    <row r="11" ht="28.5" customHeight="1">
      <c r="B11" s="12">
        <f>COUNTA(B14:B106)</f>
        <v>32</v>
      </c>
      <c r="C11" s="13"/>
      <c r="D11" s="14">
        <f>COUNTIFS(B14:B106, "&lt;&gt;", H14:H106, "&lt;&gt;Resolved", H14:H106, "&lt;&gt;Closed")</f>
        <v>32</v>
      </c>
      <c r="E11" s="15"/>
      <c r="F11" s="16">
        <f>COUNTIFS(B14:B106, "&lt;&gt;", F14:F106, "Critical")</f>
        <v>0</v>
      </c>
      <c r="G11" s="17"/>
      <c r="H11" s="18"/>
      <c r="I11" s="19">
        <f>IF(COUNTA(B14:B106)=0, 0, (COUNTIF(H14:H106, "Resolved") + COUNTIF(H14:H106, "Closed")) / COUNTA(B14:B106))</f>
        <v>0</v>
      </c>
    </row>
    <row r="13" ht="24.0" customHeight="1">
      <c r="B13" s="20" t="s">
        <v>10</v>
      </c>
      <c r="C13" s="21" t="s">
        <v>11</v>
      </c>
      <c r="D13" s="21" t="s">
        <v>12</v>
      </c>
      <c r="E13" s="22" t="s">
        <v>13</v>
      </c>
      <c r="F13" s="22" t="s">
        <v>14</v>
      </c>
      <c r="G13" s="22" t="s">
        <v>15</v>
      </c>
      <c r="H13" s="22" t="s">
        <v>16</v>
      </c>
      <c r="I13" s="21" t="s">
        <v>17</v>
      </c>
      <c r="J13" s="21" t="s">
        <v>18</v>
      </c>
      <c r="K13" s="23" t="s">
        <v>19</v>
      </c>
    </row>
    <row r="14" ht="25.5" customHeight="1">
      <c r="B14" s="24">
        <v>1.0</v>
      </c>
      <c r="C14" s="25" t="s">
        <v>20</v>
      </c>
      <c r="D14" s="25" t="s">
        <v>21</v>
      </c>
      <c r="E14" s="26" t="s">
        <v>22</v>
      </c>
      <c r="F14" s="26" t="s">
        <v>23</v>
      </c>
      <c r="G14" s="26" t="s">
        <v>24</v>
      </c>
      <c r="H14" s="26" t="s">
        <v>25</v>
      </c>
      <c r="I14" s="27" t="s">
        <v>26</v>
      </c>
      <c r="J14" s="28" t="s">
        <v>27</v>
      </c>
      <c r="K14" s="29"/>
    </row>
    <row r="15" ht="25.5" customHeight="1">
      <c r="B15" s="30">
        <v>2.0</v>
      </c>
      <c r="C15" s="31" t="s">
        <v>28</v>
      </c>
      <c r="D15" s="31" t="s">
        <v>29</v>
      </c>
      <c r="E15" s="32" t="s">
        <v>22</v>
      </c>
      <c r="F15" s="32" t="s">
        <v>23</v>
      </c>
      <c r="G15" s="32" t="s">
        <v>24</v>
      </c>
      <c r="H15" s="32" t="s">
        <v>25</v>
      </c>
      <c r="I15" s="33" t="s">
        <v>26</v>
      </c>
      <c r="J15" s="34" t="s">
        <v>30</v>
      </c>
      <c r="K15" s="35"/>
    </row>
    <row r="16" ht="25.5" customHeight="1">
      <c r="B16" s="24">
        <v>3.0</v>
      </c>
      <c r="C16" s="25" t="s">
        <v>31</v>
      </c>
      <c r="D16" s="25" t="s">
        <v>29</v>
      </c>
      <c r="E16" s="26" t="s">
        <v>22</v>
      </c>
      <c r="F16" s="26" t="s">
        <v>32</v>
      </c>
      <c r="G16" s="26" t="s">
        <v>33</v>
      </c>
      <c r="H16" s="26" t="s">
        <v>25</v>
      </c>
      <c r="I16" s="27" t="s">
        <v>26</v>
      </c>
      <c r="J16" s="28" t="s">
        <v>34</v>
      </c>
      <c r="K16" s="29"/>
    </row>
    <row r="17" ht="25.5" customHeight="1">
      <c r="B17" s="30">
        <v>4.0</v>
      </c>
      <c r="C17" s="31" t="s">
        <v>35</v>
      </c>
      <c r="D17" s="31" t="s">
        <v>36</v>
      </c>
      <c r="E17" s="32" t="s">
        <v>37</v>
      </c>
      <c r="F17" s="32" t="s">
        <v>32</v>
      </c>
      <c r="G17" s="32" t="s">
        <v>24</v>
      </c>
      <c r="H17" s="32" t="s">
        <v>25</v>
      </c>
      <c r="I17" s="33"/>
      <c r="J17" s="34"/>
      <c r="K17" s="35"/>
    </row>
    <row r="18" ht="25.5" customHeight="1">
      <c r="B18" s="36">
        <v>5.0</v>
      </c>
      <c r="C18" s="37" t="s">
        <v>28</v>
      </c>
      <c r="D18" s="37" t="s">
        <v>36</v>
      </c>
      <c r="E18" s="38" t="s">
        <v>22</v>
      </c>
      <c r="F18" s="38" t="s">
        <v>23</v>
      </c>
      <c r="G18" s="38" t="s">
        <v>24</v>
      </c>
      <c r="H18" s="38" t="s">
        <v>25</v>
      </c>
      <c r="I18" s="39" t="s">
        <v>38</v>
      </c>
      <c r="J18" s="40" t="s">
        <v>30</v>
      </c>
      <c r="K18" s="41"/>
    </row>
    <row r="19">
      <c r="B19" s="36">
        <v>6.0</v>
      </c>
      <c r="C19" s="1" t="s">
        <v>39</v>
      </c>
      <c r="D19" s="1" t="s">
        <v>40</v>
      </c>
      <c r="E19" s="42" t="s">
        <v>22</v>
      </c>
      <c r="F19" s="1" t="s">
        <v>41</v>
      </c>
      <c r="G19" s="1" t="s">
        <v>42</v>
      </c>
      <c r="H19" s="1" t="s">
        <v>25</v>
      </c>
      <c r="I19" s="1" t="s">
        <v>38</v>
      </c>
      <c r="J19" s="1" t="s">
        <v>43</v>
      </c>
    </row>
    <row r="20">
      <c r="B20" s="36">
        <v>7.0</v>
      </c>
      <c r="C20" s="1" t="s">
        <v>44</v>
      </c>
      <c r="D20" s="1" t="s">
        <v>45</v>
      </c>
      <c r="E20" s="42" t="s">
        <v>46</v>
      </c>
      <c r="F20" s="1" t="s">
        <v>41</v>
      </c>
      <c r="G20" s="1" t="s">
        <v>42</v>
      </c>
      <c r="H20" s="1" t="s">
        <v>25</v>
      </c>
      <c r="I20" s="1" t="s">
        <v>47</v>
      </c>
      <c r="J20" s="1" t="s">
        <v>48</v>
      </c>
    </row>
    <row r="21">
      <c r="B21" s="36" t="str">
        <f>IFERROR(__xludf.DUMMYFUNCTION("AI(""Fill an appropriate value for this cell based on the table context"")"),"8")</f>
        <v>8</v>
      </c>
      <c r="C21" s="1" t="s">
        <v>49</v>
      </c>
      <c r="E21" s="1" t="s">
        <v>22</v>
      </c>
      <c r="F21" s="1" t="s">
        <v>23</v>
      </c>
      <c r="G21" s="1" t="s">
        <v>24</v>
      </c>
      <c r="H21" s="1" t="s">
        <v>25</v>
      </c>
      <c r="I21" s="1" t="s">
        <v>38</v>
      </c>
      <c r="J21" s="1" t="s">
        <v>50</v>
      </c>
    </row>
    <row r="22">
      <c r="B22" s="36">
        <v>9.0</v>
      </c>
      <c r="C22" s="1" t="s">
        <v>51</v>
      </c>
      <c r="D22" s="1" t="s">
        <v>52</v>
      </c>
      <c r="E22" s="43" t="s">
        <v>53</v>
      </c>
      <c r="F22" s="1" t="s">
        <v>41</v>
      </c>
      <c r="G22" s="1" t="s">
        <v>42</v>
      </c>
      <c r="H22" s="1" t="s">
        <v>25</v>
      </c>
      <c r="I22" s="1" t="s">
        <v>54</v>
      </c>
      <c r="J22" s="1" t="s">
        <v>55</v>
      </c>
    </row>
    <row r="23">
      <c r="B23" s="36">
        <v>10.0</v>
      </c>
      <c r="C23" s="1" t="s">
        <v>56</v>
      </c>
      <c r="D23" s="1" t="s">
        <v>52</v>
      </c>
      <c r="E23" s="43" t="s">
        <v>22</v>
      </c>
      <c r="F23" s="1" t="s">
        <v>32</v>
      </c>
      <c r="G23" s="1" t="s">
        <v>33</v>
      </c>
      <c r="H23" s="1" t="s">
        <v>25</v>
      </c>
      <c r="I23" s="1" t="s">
        <v>38</v>
      </c>
      <c r="J23" s="1" t="s">
        <v>57</v>
      </c>
    </row>
    <row r="24">
      <c r="B24" s="36">
        <v>11.0</v>
      </c>
      <c r="C24" s="1" t="s">
        <v>58</v>
      </c>
      <c r="D24" s="1" t="s">
        <v>52</v>
      </c>
      <c r="E24" s="43" t="s">
        <v>59</v>
      </c>
      <c r="F24" s="1" t="s">
        <v>41</v>
      </c>
      <c r="G24" s="1" t="s">
        <v>42</v>
      </c>
      <c r="H24" s="1" t="s">
        <v>25</v>
      </c>
      <c r="I24" s="1" t="s">
        <v>54</v>
      </c>
      <c r="J24" s="1" t="s">
        <v>60</v>
      </c>
    </row>
    <row r="25">
      <c r="B25" s="36">
        <v>12.0</v>
      </c>
      <c r="C25" s="1" t="s">
        <v>61</v>
      </c>
      <c r="D25" s="1" t="s">
        <v>52</v>
      </c>
      <c r="E25" s="43" t="s">
        <v>22</v>
      </c>
      <c r="F25" s="1" t="s">
        <v>23</v>
      </c>
      <c r="G25" s="1" t="s">
        <v>24</v>
      </c>
      <c r="H25" s="1" t="s">
        <v>25</v>
      </c>
      <c r="I25" s="1" t="s">
        <v>38</v>
      </c>
      <c r="J25" s="1" t="s">
        <v>62</v>
      </c>
    </row>
    <row r="26">
      <c r="B26" s="36">
        <v>13.0</v>
      </c>
      <c r="C26" s="1" t="s">
        <v>63</v>
      </c>
      <c r="D26" s="1" t="s">
        <v>64</v>
      </c>
      <c r="E26" s="43" t="s">
        <v>22</v>
      </c>
      <c r="F26" s="1" t="s">
        <v>32</v>
      </c>
      <c r="G26" s="1" t="s">
        <v>24</v>
      </c>
      <c r="H26" s="1" t="s">
        <v>25</v>
      </c>
      <c r="I26" s="1" t="s">
        <v>38</v>
      </c>
      <c r="J26" s="1" t="s">
        <v>65</v>
      </c>
    </row>
    <row r="27">
      <c r="B27" s="36">
        <v>14.0</v>
      </c>
      <c r="C27" s="1" t="s">
        <v>66</v>
      </c>
      <c r="D27" s="1" t="s">
        <v>67</v>
      </c>
      <c r="E27" s="44"/>
      <c r="F27" s="1" t="s">
        <v>41</v>
      </c>
      <c r="G27" s="1" t="s">
        <v>42</v>
      </c>
      <c r="H27" s="1" t="s">
        <v>25</v>
      </c>
      <c r="J27" s="1" t="s">
        <v>68</v>
      </c>
    </row>
    <row r="28">
      <c r="B28" s="36">
        <v>15.0</v>
      </c>
      <c r="C28" s="1" t="s">
        <v>69</v>
      </c>
      <c r="D28" s="1" t="s">
        <v>70</v>
      </c>
      <c r="E28" s="43" t="s">
        <v>22</v>
      </c>
      <c r="F28" s="1" t="s">
        <v>41</v>
      </c>
      <c r="G28" s="1" t="s">
        <v>33</v>
      </c>
      <c r="H28" s="1" t="s">
        <v>25</v>
      </c>
      <c r="I28" s="1" t="s">
        <v>38</v>
      </c>
      <c r="J28" s="1" t="s">
        <v>71</v>
      </c>
    </row>
    <row r="29">
      <c r="B29" s="36">
        <v>16.0</v>
      </c>
      <c r="C29" s="1" t="s">
        <v>72</v>
      </c>
      <c r="D29" s="1" t="s">
        <v>73</v>
      </c>
      <c r="E29" s="43" t="s">
        <v>59</v>
      </c>
      <c r="F29" s="1" t="s">
        <v>41</v>
      </c>
      <c r="G29" s="1" t="s">
        <v>42</v>
      </c>
      <c r="H29" s="1" t="s">
        <v>25</v>
      </c>
      <c r="I29" s="1" t="s">
        <v>54</v>
      </c>
      <c r="J29" s="1" t="s">
        <v>74</v>
      </c>
    </row>
    <row r="30">
      <c r="B30" s="36">
        <v>17.0</v>
      </c>
      <c r="C30" s="1" t="s">
        <v>75</v>
      </c>
      <c r="D30" s="1" t="s">
        <v>73</v>
      </c>
      <c r="E30" s="43" t="s">
        <v>46</v>
      </c>
      <c r="F30" s="1" t="s">
        <v>41</v>
      </c>
      <c r="G30" s="1" t="s">
        <v>42</v>
      </c>
      <c r="H30" s="1" t="s">
        <v>25</v>
      </c>
      <c r="I30" s="1" t="s">
        <v>76</v>
      </c>
      <c r="J30" s="1" t="s">
        <v>77</v>
      </c>
    </row>
    <row r="31">
      <c r="B31" s="36">
        <v>18.0</v>
      </c>
      <c r="C31" s="1" t="s">
        <v>78</v>
      </c>
      <c r="D31" s="1" t="s">
        <v>79</v>
      </c>
      <c r="E31" s="43" t="s">
        <v>22</v>
      </c>
      <c r="F31" s="1" t="s">
        <v>41</v>
      </c>
      <c r="G31" s="1" t="s">
        <v>33</v>
      </c>
      <c r="H31" s="1" t="s">
        <v>25</v>
      </c>
      <c r="I31" s="1" t="s">
        <v>38</v>
      </c>
      <c r="J31" s="1" t="s">
        <v>80</v>
      </c>
    </row>
    <row r="32">
      <c r="B32" s="36">
        <v>19.0</v>
      </c>
      <c r="C32" s="1" t="s">
        <v>81</v>
      </c>
      <c r="D32" s="1" t="s">
        <v>82</v>
      </c>
      <c r="E32" s="43" t="s">
        <v>83</v>
      </c>
      <c r="F32" s="1" t="s">
        <v>41</v>
      </c>
      <c r="G32" s="1" t="s">
        <v>42</v>
      </c>
      <c r="H32" s="1" t="s">
        <v>25</v>
      </c>
      <c r="I32" s="1" t="s">
        <v>76</v>
      </c>
      <c r="J32" s="1" t="s">
        <v>84</v>
      </c>
    </row>
    <row r="33">
      <c r="B33" s="36">
        <v>20.0</v>
      </c>
      <c r="C33" s="1" t="s">
        <v>85</v>
      </c>
      <c r="D33" s="1" t="s">
        <v>86</v>
      </c>
      <c r="E33" s="43" t="s">
        <v>53</v>
      </c>
      <c r="F33" s="1" t="s">
        <v>41</v>
      </c>
      <c r="G33" s="1" t="s">
        <v>42</v>
      </c>
      <c r="H33" s="1" t="s">
        <v>25</v>
      </c>
      <c r="I33" s="1" t="s">
        <v>54</v>
      </c>
      <c r="J33" s="1" t="s">
        <v>87</v>
      </c>
    </row>
    <row r="34">
      <c r="B34" s="36">
        <v>21.0</v>
      </c>
      <c r="C34" s="1" t="s">
        <v>88</v>
      </c>
      <c r="D34" s="1" t="s">
        <v>89</v>
      </c>
      <c r="E34" s="43" t="s">
        <v>90</v>
      </c>
      <c r="F34" s="1" t="s">
        <v>41</v>
      </c>
      <c r="G34" s="1" t="s">
        <v>42</v>
      </c>
      <c r="H34" s="1" t="s">
        <v>25</v>
      </c>
      <c r="I34" s="1" t="s">
        <v>91</v>
      </c>
      <c r="J34" s="1" t="s">
        <v>92</v>
      </c>
    </row>
    <row r="35">
      <c r="B35" s="36">
        <v>22.0</v>
      </c>
      <c r="C35" s="1" t="s">
        <v>93</v>
      </c>
      <c r="D35" s="1" t="s">
        <v>94</v>
      </c>
      <c r="E35" s="43" t="s">
        <v>22</v>
      </c>
      <c r="F35" s="1" t="s">
        <v>23</v>
      </c>
      <c r="G35" s="1" t="s">
        <v>24</v>
      </c>
      <c r="H35" s="1" t="s">
        <v>25</v>
      </c>
      <c r="I35" s="1" t="s">
        <v>38</v>
      </c>
      <c r="J35" s="1" t="s">
        <v>95</v>
      </c>
    </row>
    <row r="36">
      <c r="B36" s="36">
        <v>23.0</v>
      </c>
      <c r="C36" s="1" t="s">
        <v>96</v>
      </c>
      <c r="D36" s="1" t="s">
        <v>86</v>
      </c>
      <c r="E36" s="43" t="s">
        <v>46</v>
      </c>
      <c r="F36" s="1" t="s">
        <v>41</v>
      </c>
      <c r="G36" s="1" t="s">
        <v>42</v>
      </c>
      <c r="H36" s="1" t="s">
        <v>25</v>
      </c>
      <c r="I36" s="1" t="s">
        <v>97</v>
      </c>
      <c r="J36" s="1" t="s">
        <v>98</v>
      </c>
    </row>
    <row r="37">
      <c r="B37" s="36">
        <v>24.0</v>
      </c>
      <c r="C37" s="1" t="s">
        <v>99</v>
      </c>
      <c r="D37" s="1" t="s">
        <v>89</v>
      </c>
      <c r="E37" s="43" t="s">
        <v>53</v>
      </c>
      <c r="F37" s="1" t="s">
        <v>41</v>
      </c>
      <c r="G37" s="1" t="s">
        <v>42</v>
      </c>
      <c r="H37" s="1" t="s">
        <v>25</v>
      </c>
      <c r="I37" s="1" t="s">
        <v>54</v>
      </c>
      <c r="J37" s="1" t="s">
        <v>100</v>
      </c>
    </row>
    <row r="38">
      <c r="B38" s="36">
        <v>25.0</v>
      </c>
      <c r="C38" s="1" t="s">
        <v>101</v>
      </c>
      <c r="D38" s="1" t="s">
        <v>70</v>
      </c>
      <c r="E38" s="43" t="s">
        <v>53</v>
      </c>
      <c r="F38" s="1" t="s">
        <v>41</v>
      </c>
      <c r="G38" s="1" t="s">
        <v>42</v>
      </c>
      <c r="H38" s="1" t="s">
        <v>25</v>
      </c>
      <c r="I38" s="1" t="s">
        <v>54</v>
      </c>
      <c r="J38" s="1" t="s">
        <v>102</v>
      </c>
    </row>
    <row r="39">
      <c r="B39" s="36">
        <v>26.0</v>
      </c>
      <c r="C39" s="1" t="s">
        <v>103</v>
      </c>
      <c r="D39" s="1" t="s">
        <v>70</v>
      </c>
      <c r="E39" s="43" t="s">
        <v>53</v>
      </c>
      <c r="F39" s="1" t="s">
        <v>41</v>
      </c>
      <c r="G39" s="1" t="s">
        <v>42</v>
      </c>
      <c r="H39" s="1" t="s">
        <v>25</v>
      </c>
      <c r="I39" s="1" t="s">
        <v>54</v>
      </c>
      <c r="J39" s="1" t="s">
        <v>103</v>
      </c>
    </row>
    <row r="40">
      <c r="B40" s="36">
        <v>27.0</v>
      </c>
      <c r="C40" s="1" t="s">
        <v>104</v>
      </c>
      <c r="D40" s="1" t="s">
        <v>105</v>
      </c>
      <c r="E40" s="43" t="s">
        <v>46</v>
      </c>
      <c r="F40" s="1" t="s">
        <v>41</v>
      </c>
      <c r="G40" s="1" t="s">
        <v>33</v>
      </c>
      <c r="H40" s="1" t="s">
        <v>25</v>
      </c>
      <c r="I40" s="1" t="s">
        <v>106</v>
      </c>
      <c r="J40" s="1" t="s">
        <v>107</v>
      </c>
    </row>
    <row r="41">
      <c r="B41" s="36">
        <v>28.0</v>
      </c>
      <c r="C41" s="1" t="s">
        <v>108</v>
      </c>
      <c r="D41" s="1" t="s">
        <v>105</v>
      </c>
      <c r="E41" s="43" t="s">
        <v>90</v>
      </c>
      <c r="F41" s="1" t="s">
        <v>41</v>
      </c>
      <c r="G41" s="1" t="s">
        <v>33</v>
      </c>
      <c r="H41" s="1" t="s">
        <v>25</v>
      </c>
      <c r="I41" s="1" t="s">
        <v>47</v>
      </c>
      <c r="J41" s="1" t="s">
        <v>107</v>
      </c>
    </row>
    <row r="42">
      <c r="B42" s="36">
        <v>29.0</v>
      </c>
      <c r="C42" s="1" t="s">
        <v>109</v>
      </c>
      <c r="D42" s="1" t="s">
        <v>110</v>
      </c>
      <c r="E42" s="43" t="s">
        <v>53</v>
      </c>
      <c r="F42" s="1" t="s">
        <v>41</v>
      </c>
      <c r="G42" s="1" t="s">
        <v>42</v>
      </c>
      <c r="H42" s="1" t="s">
        <v>25</v>
      </c>
      <c r="I42" s="1" t="s">
        <v>54</v>
      </c>
      <c r="J42" s="1" t="s">
        <v>111</v>
      </c>
    </row>
    <row r="43">
      <c r="B43" s="36">
        <v>30.0</v>
      </c>
      <c r="C43" s="1" t="s">
        <v>112</v>
      </c>
      <c r="D43" s="1" t="s">
        <v>113</v>
      </c>
      <c r="E43" s="43" t="s">
        <v>22</v>
      </c>
      <c r="F43" s="1" t="s">
        <v>23</v>
      </c>
      <c r="G43" s="1" t="s">
        <v>24</v>
      </c>
      <c r="H43" s="1" t="s">
        <v>25</v>
      </c>
      <c r="I43" s="1" t="s">
        <v>38</v>
      </c>
      <c r="J43" s="1" t="s">
        <v>114</v>
      </c>
    </row>
    <row r="44">
      <c r="B44" s="36">
        <v>31.0</v>
      </c>
      <c r="C44" s="1" t="s">
        <v>115</v>
      </c>
      <c r="D44" s="1" t="s">
        <v>116</v>
      </c>
      <c r="E44" s="43" t="s">
        <v>53</v>
      </c>
      <c r="F44" s="1" t="s">
        <v>41</v>
      </c>
      <c r="G44" s="1" t="s">
        <v>42</v>
      </c>
      <c r="H44" s="1" t="s">
        <v>25</v>
      </c>
      <c r="I44" s="1" t="s">
        <v>54</v>
      </c>
      <c r="J44" s="1" t="s">
        <v>117</v>
      </c>
    </row>
    <row r="45">
      <c r="B45" s="36">
        <v>32.0</v>
      </c>
      <c r="E45" s="44"/>
      <c r="F45" s="44"/>
      <c r="G45" s="44"/>
      <c r="H45" s="44"/>
    </row>
    <row r="46">
      <c r="B46" s="36"/>
      <c r="E46" s="44"/>
      <c r="F46" s="44"/>
      <c r="G46" s="44"/>
      <c r="H46" s="44"/>
    </row>
    <row r="47">
      <c r="B47" s="36"/>
      <c r="E47" s="44"/>
      <c r="F47" s="44"/>
      <c r="G47" s="44"/>
      <c r="H47" s="44"/>
    </row>
    <row r="48">
      <c r="B48" s="36"/>
      <c r="E48" s="44"/>
      <c r="F48" s="44"/>
      <c r="G48" s="44"/>
      <c r="H48" s="44"/>
    </row>
    <row r="49">
      <c r="B49" s="36"/>
      <c r="E49" s="44"/>
      <c r="F49" s="44"/>
      <c r="G49" s="44"/>
      <c r="H49" s="44"/>
    </row>
    <row r="50">
      <c r="E50" s="44"/>
      <c r="F50" s="44"/>
      <c r="G50" s="44"/>
      <c r="H50" s="44"/>
    </row>
    <row r="51">
      <c r="E51" s="44"/>
      <c r="F51" s="44"/>
      <c r="G51" s="44"/>
      <c r="H51" s="44"/>
    </row>
    <row r="52">
      <c r="E52" s="44"/>
      <c r="F52" s="44"/>
      <c r="G52" s="44"/>
      <c r="H52" s="44"/>
    </row>
    <row r="53">
      <c r="E53" s="44"/>
      <c r="F53" s="44"/>
      <c r="G53" s="44"/>
      <c r="H53" s="44"/>
    </row>
    <row r="54">
      <c r="E54" s="44"/>
      <c r="F54" s="44"/>
      <c r="G54" s="44"/>
      <c r="H54" s="44"/>
    </row>
    <row r="55">
      <c r="E55" s="44"/>
      <c r="F55" s="44"/>
      <c r="G55" s="44"/>
      <c r="H55" s="44"/>
    </row>
    <row r="56">
      <c r="E56" s="44"/>
      <c r="F56" s="44"/>
      <c r="G56" s="44"/>
      <c r="H56" s="44"/>
    </row>
    <row r="57">
      <c r="E57" s="44"/>
      <c r="F57" s="44"/>
      <c r="G57" s="44"/>
      <c r="H57" s="44"/>
    </row>
    <row r="58">
      <c r="E58" s="44"/>
      <c r="F58" s="44"/>
      <c r="G58" s="44"/>
      <c r="H58" s="44"/>
    </row>
    <row r="59">
      <c r="E59" s="44"/>
      <c r="F59" s="44"/>
      <c r="G59" s="44"/>
      <c r="H59" s="44"/>
    </row>
    <row r="60">
      <c r="E60" s="44"/>
      <c r="F60" s="44"/>
      <c r="G60" s="44"/>
      <c r="H60" s="44"/>
    </row>
    <row r="61">
      <c r="E61" s="44"/>
      <c r="F61" s="44"/>
      <c r="G61" s="44"/>
      <c r="H61" s="44"/>
    </row>
    <row r="62">
      <c r="E62" s="44"/>
      <c r="F62" s="44"/>
      <c r="G62" s="44"/>
      <c r="H62" s="44"/>
    </row>
    <row r="63">
      <c r="E63" s="44"/>
      <c r="F63" s="44"/>
      <c r="G63" s="44"/>
      <c r="H63" s="44"/>
    </row>
    <row r="64">
      <c r="E64" s="44"/>
      <c r="F64" s="44"/>
      <c r="G64" s="44"/>
      <c r="H64" s="44"/>
    </row>
    <row r="65">
      <c r="E65" s="44"/>
      <c r="F65" s="44"/>
      <c r="G65" s="44"/>
      <c r="H65" s="44"/>
    </row>
    <row r="66">
      <c r="E66" s="44"/>
      <c r="F66" s="44"/>
      <c r="G66" s="44"/>
      <c r="H66" s="44"/>
    </row>
    <row r="67">
      <c r="E67" s="44"/>
      <c r="F67" s="44"/>
      <c r="G67" s="44"/>
      <c r="H67" s="44"/>
    </row>
    <row r="68">
      <c r="E68" s="44"/>
      <c r="F68" s="44"/>
      <c r="G68" s="44"/>
      <c r="H68" s="44"/>
    </row>
    <row r="69">
      <c r="E69" s="44"/>
      <c r="F69" s="44"/>
      <c r="G69" s="44"/>
      <c r="H69" s="44"/>
    </row>
    <row r="70">
      <c r="E70" s="44"/>
      <c r="F70" s="44"/>
      <c r="G70" s="44"/>
      <c r="H70" s="44"/>
    </row>
    <row r="71">
      <c r="E71" s="44"/>
      <c r="F71" s="44"/>
      <c r="G71" s="44"/>
      <c r="H71" s="44"/>
    </row>
    <row r="72">
      <c r="E72" s="44"/>
      <c r="F72" s="44"/>
      <c r="G72" s="44"/>
      <c r="H72" s="44"/>
    </row>
    <row r="73">
      <c r="E73" s="44"/>
      <c r="F73" s="44"/>
      <c r="G73" s="44"/>
      <c r="H73" s="44"/>
    </row>
    <row r="74">
      <c r="E74" s="44"/>
      <c r="F74" s="44"/>
      <c r="G74" s="44"/>
      <c r="H74" s="44"/>
    </row>
    <row r="75">
      <c r="E75" s="44"/>
      <c r="F75" s="44"/>
      <c r="G75" s="44"/>
      <c r="H75" s="44"/>
    </row>
    <row r="76">
      <c r="E76" s="44"/>
      <c r="F76" s="44"/>
      <c r="G76" s="44"/>
      <c r="H76" s="44"/>
    </row>
    <row r="77">
      <c r="E77" s="44"/>
      <c r="F77" s="44"/>
      <c r="G77" s="44"/>
      <c r="H77" s="44"/>
    </row>
    <row r="78">
      <c r="E78" s="44"/>
      <c r="F78" s="44"/>
      <c r="G78" s="44"/>
      <c r="H78" s="44"/>
    </row>
    <row r="79">
      <c r="E79" s="44"/>
      <c r="F79" s="44"/>
      <c r="G79" s="44"/>
      <c r="H79" s="44"/>
    </row>
    <row r="80">
      <c r="E80" s="44"/>
      <c r="F80" s="44"/>
      <c r="G80" s="44"/>
      <c r="H80" s="44"/>
    </row>
    <row r="81">
      <c r="E81" s="44"/>
      <c r="F81" s="44"/>
      <c r="G81" s="44"/>
      <c r="H81" s="44"/>
    </row>
    <row r="82">
      <c r="E82" s="44"/>
      <c r="F82" s="44"/>
      <c r="G82" s="44"/>
      <c r="H82" s="44"/>
    </row>
    <row r="83">
      <c r="E83" s="44"/>
      <c r="F83" s="44"/>
      <c r="G83" s="44"/>
      <c r="H83" s="44"/>
    </row>
    <row r="84">
      <c r="E84" s="44"/>
      <c r="F84" s="44"/>
      <c r="G84" s="44"/>
      <c r="H84" s="44"/>
    </row>
    <row r="85">
      <c r="E85" s="44"/>
      <c r="F85" s="44"/>
      <c r="G85" s="44"/>
      <c r="H85" s="44"/>
    </row>
    <row r="86">
      <c r="E86" s="44"/>
      <c r="F86" s="44"/>
      <c r="G86" s="44"/>
      <c r="H86" s="44"/>
    </row>
    <row r="87">
      <c r="E87" s="44"/>
      <c r="F87" s="44"/>
      <c r="G87" s="44"/>
      <c r="H87" s="44"/>
    </row>
    <row r="88">
      <c r="E88" s="44"/>
      <c r="F88" s="44"/>
      <c r="G88" s="44"/>
      <c r="H88" s="44"/>
    </row>
    <row r="89">
      <c r="E89" s="44"/>
      <c r="F89" s="44"/>
      <c r="G89" s="44"/>
      <c r="H89" s="44"/>
    </row>
    <row r="90">
      <c r="E90" s="44"/>
      <c r="F90" s="44"/>
      <c r="G90" s="44"/>
      <c r="H90" s="44"/>
    </row>
    <row r="91">
      <c r="E91" s="44"/>
      <c r="F91" s="44"/>
      <c r="G91" s="44"/>
      <c r="H91" s="44"/>
    </row>
    <row r="92">
      <c r="E92" s="44"/>
      <c r="F92" s="44"/>
      <c r="G92" s="44"/>
      <c r="H92" s="44"/>
    </row>
    <row r="93">
      <c r="E93" s="44"/>
      <c r="F93" s="44"/>
      <c r="G93" s="44"/>
      <c r="H93" s="44"/>
    </row>
    <row r="94">
      <c r="E94" s="44"/>
      <c r="F94" s="44"/>
      <c r="G94" s="44"/>
      <c r="H94" s="44"/>
    </row>
    <row r="95">
      <c r="E95" s="44"/>
      <c r="F95" s="44"/>
      <c r="G95" s="44"/>
      <c r="H95" s="44"/>
    </row>
    <row r="96">
      <c r="E96" s="44"/>
      <c r="F96" s="44"/>
      <c r="G96" s="44"/>
      <c r="H96" s="44"/>
    </row>
    <row r="97">
      <c r="E97" s="44"/>
      <c r="F97" s="44"/>
      <c r="G97" s="44"/>
      <c r="H97" s="44"/>
    </row>
    <row r="98">
      <c r="E98" s="44"/>
      <c r="F98" s="44"/>
      <c r="G98" s="44"/>
      <c r="H98" s="44"/>
    </row>
    <row r="99">
      <c r="E99" s="44"/>
      <c r="F99" s="44"/>
      <c r="G99" s="44"/>
      <c r="H99" s="44"/>
    </row>
    <row r="100">
      <c r="E100" s="44"/>
      <c r="F100" s="44"/>
      <c r="G100" s="44"/>
      <c r="H100" s="44"/>
    </row>
    <row r="101">
      <c r="E101" s="44"/>
      <c r="F101" s="44"/>
      <c r="G101" s="44"/>
      <c r="H101" s="44"/>
    </row>
    <row r="102">
      <c r="E102" s="44"/>
      <c r="F102" s="44"/>
      <c r="G102" s="44"/>
      <c r="H102" s="44"/>
    </row>
    <row r="103">
      <c r="E103" s="44"/>
      <c r="F103" s="44"/>
      <c r="G103" s="44"/>
      <c r="H103" s="44"/>
    </row>
    <row r="104">
      <c r="E104" s="44"/>
      <c r="F104" s="44"/>
      <c r="G104" s="44"/>
      <c r="H104" s="44"/>
    </row>
    <row r="105">
      <c r="E105" s="44"/>
      <c r="F105" s="44"/>
      <c r="G105" s="44"/>
      <c r="H105" s="44"/>
    </row>
    <row r="106">
      <c r="E106" s="44"/>
      <c r="F106" s="44"/>
      <c r="G106" s="44"/>
      <c r="H106" s="44"/>
    </row>
  </sheetData>
  <mergeCells count="6">
    <mergeCell ref="B10:C10"/>
    <mergeCell ref="D10:E10"/>
    <mergeCell ref="F10:H10"/>
    <mergeCell ref="B11:C11"/>
    <mergeCell ref="D11:E11"/>
    <mergeCell ref="F11:H11"/>
  </mergeCells>
  <dataValidations>
    <dataValidation type="list" allowBlank="1" sqref="G14:G106">
      <formula1>"P0 - Blocker,P1 - High,P2 - Medium,P3 - Low"</formula1>
    </dataValidation>
    <dataValidation type="list" allowBlank="1" sqref="E14:E106">
      <formula1>"Functional,UI/Display,Backend"</formula1>
    </dataValidation>
    <dataValidation type="list" allowBlank="1" sqref="H14:H106">
      <formula1>"Open,In Progress,In Review,Resolved,Closed"</formula1>
    </dataValidation>
    <dataValidation type="list" allowBlank="1" sqref="F14:F106">
      <formula1>"Critical,Major,Moderate,Minor"</formula1>
    </dataValidation>
  </dataValidations>
  <drawing r:id="rId1"/>
</worksheet>
</file>